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ria\Downloads\"/>
    </mc:Choice>
  </mc:AlternateContent>
  <xr:revisionPtr revIDLastSave="0" documentId="13_ncr:1_{31DE346C-5D5C-45E4-ACD5-3AF05EE727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peline Dashboard" sheetId="1" r:id="rId1"/>
    <sheet name="Opportunity Pipe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7" i="2"/>
  <c r="E15" i="1" s="1"/>
  <c r="I8" i="2"/>
  <c r="I9" i="2"/>
  <c r="I10" i="2"/>
  <c r="I11" i="2"/>
  <c r="I12" i="2"/>
  <c r="I5" i="2"/>
  <c r="H13" i="2"/>
  <c r="I13" i="2"/>
  <c r="E17" i="1"/>
  <c r="D17" i="1"/>
  <c r="C17" i="1"/>
  <c r="E16" i="1"/>
  <c r="D16" i="1"/>
  <c r="C16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D18" i="1" s="1"/>
  <c r="C11" i="1"/>
  <c r="C18" i="1" s="1"/>
  <c r="H5" i="1"/>
  <c r="E5" i="1"/>
  <c r="B5" i="1"/>
  <c r="E18" i="1" l="1"/>
</calcChain>
</file>

<file path=xl/sharedStrings.xml><?xml version="1.0" encoding="utf-8"?>
<sst xmlns="http://schemas.openxmlformats.org/spreadsheetml/2006/main" count="114" uniqueCount="86">
  <si>
    <t>Typhon Catheter LLC - Executive Pipeline Dashboard</t>
  </si>
  <si>
    <t>Total Raw Pipeline Size</t>
  </si>
  <si>
    <t>Total Weighted Revenue</t>
  </si>
  <si>
    <t>Active Opportunities Count</t>
  </si>
  <si>
    <t>Pipeline Breakdown by Stage</t>
  </si>
  <si>
    <t>Pipeline Stage</t>
  </si>
  <si>
    <t>Deal Count</t>
  </si>
  <si>
    <t>Total Value</t>
  </si>
  <si>
    <t>Weighted Value</t>
  </si>
  <si>
    <t>01 - Qualification</t>
  </si>
  <si>
    <t>02 - Discovery/Scoping</t>
  </si>
  <si>
    <t>03 - Proposal/RFP</t>
  </si>
  <si>
    <t>04 - Technical Evaluation</t>
  </si>
  <si>
    <t>05 - Negotiation</t>
  </si>
  <si>
    <t>06 - Closed Won</t>
  </si>
  <si>
    <t>07 - Closed Lost</t>
  </si>
  <si>
    <t>Total</t>
  </si>
  <si>
    <t>Typhon Catheter LLC</t>
  </si>
  <si>
    <t>CRM Pipeline &amp; Opportunity Tracker</t>
  </si>
  <si>
    <t>Opp ID</t>
  </si>
  <si>
    <t>Opportunity Name</t>
  </si>
  <si>
    <t>Account / Client</t>
  </si>
  <si>
    <t>Product/Service Type</t>
  </si>
  <si>
    <t>Deal Size ($)</t>
  </si>
  <si>
    <t>Weighted Revenue ($)</t>
  </si>
  <si>
    <t>Estimated Close Date</t>
  </si>
  <si>
    <t>Sales Lead</t>
  </si>
  <si>
    <t>Region/Territory</t>
  </si>
  <si>
    <t>Next Steps</t>
  </si>
  <si>
    <t>Status</t>
  </si>
  <si>
    <t>OPP-001</t>
  </si>
  <si>
    <t>Nitinol Over-the-Wire Catheter Dev</t>
  </si>
  <si>
    <t>Medtronic</t>
  </si>
  <si>
    <t>R&amp;D Contract</t>
  </si>
  <si>
    <t>2026-09-15</t>
  </si>
  <si>
    <t>Sarah Jenkins</t>
  </si>
  <si>
    <t>North America</t>
  </si>
  <si>
    <t>Present clinical data package</t>
  </si>
  <si>
    <t>Open</t>
  </si>
  <si>
    <t>OPP-002</t>
  </si>
  <si>
    <t>Steerable Electrophysiology Shafts</t>
  </si>
  <si>
    <t>Boston Scientific</t>
  </si>
  <si>
    <t>Component Supply</t>
  </si>
  <si>
    <t>2027-01-20</t>
  </si>
  <si>
    <t>Michael Chang</t>
  </si>
  <si>
    <t>Schedule engineering alignment call</t>
  </si>
  <si>
    <t>OPP-003</t>
  </si>
  <si>
    <t>Laser Processing &amp; Shape Setting</t>
  </si>
  <si>
    <t>Edwards Lifesciences</t>
  </si>
  <si>
    <t>Manufacturing</t>
  </si>
  <si>
    <t>2026-07-01</t>
  </si>
  <si>
    <t>Elena Rostova</t>
  </si>
  <si>
    <t>Europe</t>
  </si>
  <si>
    <t>Finalize Master Services Agreement</t>
  </si>
  <si>
    <t>OPP-004</t>
  </si>
  <si>
    <t>Next-Gen Microcatheter Tech Transfer</t>
  </si>
  <si>
    <t>Terumo Medical</t>
  </si>
  <si>
    <t>Licensing</t>
  </si>
  <si>
    <t>2026-11-10</t>
  </si>
  <si>
    <t>APAC</t>
  </si>
  <si>
    <t>Deliver test prototypes for bench testing</t>
  </si>
  <si>
    <t>OPP-005</t>
  </si>
  <si>
    <t>Custom Neurovascular Sheath Dev</t>
  </si>
  <si>
    <t>Stryker</t>
  </si>
  <si>
    <t>2026-05-12</t>
  </si>
  <si>
    <t>Kickoff meeting scheduled</t>
  </si>
  <si>
    <t>Won</t>
  </si>
  <si>
    <t>OPP-006</t>
  </si>
  <si>
    <t>High-Pressure Balloon Catheter Shafts</t>
  </si>
  <si>
    <t>Abbott Laboratories</t>
  </si>
  <si>
    <t>2026-10-05</t>
  </si>
  <si>
    <t>Send technical specification sheet</t>
  </si>
  <si>
    <t>OPP-007</t>
  </si>
  <si>
    <t>Endovascular Delivery System Delivery</t>
  </si>
  <si>
    <t>Cook Medical</t>
  </si>
  <si>
    <t>2026-04-18</t>
  </si>
  <si>
    <t>Lost to internal resource capability</t>
  </si>
  <si>
    <t>Lost</t>
  </si>
  <si>
    <t>OPP-008</t>
  </si>
  <si>
    <t>Braided Shaft Structural Optimization</t>
  </si>
  <si>
    <t>Cordis</t>
  </si>
  <si>
    <t>2026-08-30</t>
  </si>
  <si>
    <t>Follow up on proposal feedback</t>
  </si>
  <si>
    <t>Total Active Pipeline</t>
  </si>
  <si>
    <t>Project Probability (%)</t>
  </si>
  <si>
    <t>Win Probability 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</si>
</sst>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6"/>
      <color rgb="FF1B365D"/>
      <name val="Calibri"/>
    </font>
    <font>
      <i/>
      <sz val="12"/>
      <name val="Calibri"/>
    </font>
    <font>
      <b/>
      <sz val="18"/>
      <color rgb="FF1B365D"/>
      <name val="Calibri"/>
    </font>
    <font>
      <b/>
      <sz val="10"/>
      <color rgb="FF555555"/>
      <name val="Calibri"/>
    </font>
    <font>
      <b/>
      <sz val="13"/>
      <color rgb="FF1B365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7F9FB"/>
        <bgColor rgb="FFF7F9FB"/>
      </patternFill>
    </fill>
    <fill>
      <patternFill patternType="solid">
        <fgColor rgb="FFF0F4F8"/>
        <bgColor rgb="FFF0F4F8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double">
        <color rgb="FF1B365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0" borderId="0" xfId="0" applyFont="1"/>
    <xf numFmtId="0" fontId="8" fillId="0" borderId="0" xfId="0" applyFont="1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3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right"/>
    </xf>
    <xf numFmtId="0" fontId="3" fillId="0" borderId="2" xfId="0" applyFont="1" applyBorder="1"/>
    <xf numFmtId="3" fontId="3" fillId="0" borderId="2" xfId="0" applyNumberFormat="1" applyFont="1" applyBorder="1"/>
    <xf numFmtId="165" fontId="3" fillId="0" borderId="2" xfId="0" applyNumberFormat="1" applyFont="1" applyBorder="1"/>
    <xf numFmtId="0" fontId="1" fillId="2" borderId="0" xfId="0" applyFont="1" applyFill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7" fillId="4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right" vertical="center"/>
    </xf>
    <xf numFmtId="165" fontId="3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"/>
  <sheetViews>
    <sheetView tabSelected="1" workbookViewId="0">
      <selection activeCell="B22" sqref="B22"/>
    </sheetView>
  </sheetViews>
  <sheetFormatPr defaultRowHeight="14.4" x14ac:dyDescent="0.3"/>
  <cols>
    <col min="1" max="1" width="3" customWidth="1"/>
    <col min="2" max="2" width="28" customWidth="1"/>
    <col min="3" max="3" width="15" customWidth="1"/>
    <col min="4" max="5" width="18" customWidth="1"/>
    <col min="6" max="7" width="12" customWidth="1"/>
    <col min="8" max="8" width="30" customWidth="1"/>
    <col min="9" max="10" width="12" customWidth="1"/>
  </cols>
  <sheetData>
    <row r="2" spans="2:10" ht="23.4" x14ac:dyDescent="0.45">
      <c r="B2" s="1" t="s">
        <v>0</v>
      </c>
    </row>
    <row r="4" spans="2:10" x14ac:dyDescent="0.3">
      <c r="B4" s="16" t="s">
        <v>1</v>
      </c>
      <c r="C4" s="15"/>
      <c r="D4" s="15"/>
      <c r="E4" s="16" t="s">
        <v>2</v>
      </c>
      <c r="F4" s="15"/>
      <c r="G4" s="15"/>
      <c r="H4" s="16" t="s">
        <v>3</v>
      </c>
      <c r="I4" s="15"/>
      <c r="J4" s="15"/>
    </row>
    <row r="5" spans="2:10" x14ac:dyDescent="0.3">
      <c r="B5" s="14">
        <f>SUM('Opportunity Pipeline'!H5:H12)</f>
        <v>2780000</v>
      </c>
      <c r="C5" s="15"/>
      <c r="D5" s="15"/>
      <c r="E5" s="14">
        <f>SUM('Opportunity Pipeline'!I5:I12)</f>
        <v>739800</v>
      </c>
      <c r="F5" s="15"/>
      <c r="G5" s="15"/>
      <c r="H5" s="17">
        <f>COUNTIF('Opportunity Pipeline'!N5:N12, "Open")</f>
        <v>6</v>
      </c>
      <c r="I5" s="15"/>
      <c r="J5" s="15"/>
    </row>
    <row r="6" spans="2:10" x14ac:dyDescent="0.3">
      <c r="B6" s="15"/>
      <c r="C6" s="15"/>
      <c r="D6" s="15"/>
      <c r="E6" s="15"/>
      <c r="F6" s="15"/>
      <c r="G6" s="15"/>
      <c r="H6" s="15"/>
      <c r="I6" s="15"/>
      <c r="J6" s="15"/>
    </row>
    <row r="8" spans="2:10" ht="17.399999999999999" x14ac:dyDescent="0.35">
      <c r="B8" s="2" t="s">
        <v>4</v>
      </c>
    </row>
    <row r="10" spans="2:10" x14ac:dyDescent="0.3">
      <c r="B10" s="3" t="s">
        <v>5</v>
      </c>
      <c r="C10" s="3" t="s">
        <v>6</v>
      </c>
      <c r="D10" s="3" t="s">
        <v>7</v>
      </c>
      <c r="E10" s="3" t="s">
        <v>8</v>
      </c>
    </row>
    <row r="11" spans="2:10" x14ac:dyDescent="0.3">
      <c r="B11" s="4" t="s">
        <v>9</v>
      </c>
      <c r="C11" s="5">
        <f>COUNTIF('Opportunity Pipeline'!E5:E12, "01 - Qualification")</f>
        <v>1</v>
      </c>
      <c r="D11" s="6">
        <f>SUMIF('Opportunity Pipeline'!E5:E12, "01 - Qualification", 'Opportunity Pipeline'!H5:H12)</f>
        <v>500000</v>
      </c>
      <c r="E11" s="6">
        <f>SUMIF('Opportunity Pipeline'!E5:E12, "01 - Qualification", 'Opportunity Pipeline'!I5:I12)</f>
        <v>60000</v>
      </c>
    </row>
    <row r="12" spans="2:10" x14ac:dyDescent="0.3">
      <c r="B12" s="7" t="s">
        <v>10</v>
      </c>
      <c r="C12" s="8">
        <f>COUNTIF('Opportunity Pipeline'!E5:E12, "02 - Discovery/Scoping")</f>
        <v>1</v>
      </c>
      <c r="D12" s="9">
        <f>SUMIF('Opportunity Pipeline'!E5:E12, "02 - Discovery/Scoping", 'Opportunity Pipeline'!H5:H12)</f>
        <v>420000</v>
      </c>
      <c r="E12" s="9">
        <f>SUMIF('Opportunity Pipeline'!E5:E12, "02 - Discovery/Scoping", 'Opportunity Pipeline'!I5:I12)</f>
        <v>75600</v>
      </c>
    </row>
    <row r="13" spans="2:10" x14ac:dyDescent="0.3">
      <c r="B13" s="4" t="s">
        <v>11</v>
      </c>
      <c r="C13" s="5">
        <f>COUNTIF('Opportunity Pipeline'!E5:E12, "03 - Proposal/RFP")</f>
        <v>2</v>
      </c>
      <c r="D13" s="6">
        <f>SUMIF('Opportunity Pipeline'!E5:E12, "03 - Proposal/RFP", 'Opportunity Pipeline'!H5:H12)</f>
        <v>400000</v>
      </c>
      <c r="E13" s="6">
        <f>SUMIF('Opportunity Pipeline'!E5:E12, "03 - Proposal/RFP", 'Opportunity Pipeline'!I5:I12)</f>
        <v>135000</v>
      </c>
    </row>
    <row r="14" spans="2:10" x14ac:dyDescent="0.3">
      <c r="B14" s="7" t="s">
        <v>12</v>
      </c>
      <c r="C14" s="8">
        <f>COUNTIF('Opportunity Pipeline'!E5:E12, "04 - Technical Evaluation")</f>
        <v>1</v>
      </c>
      <c r="D14" s="9">
        <f>SUMIF('Opportunity Pipeline'!E5:E12, "04 - Technical Evaluation", 'Opportunity Pipeline'!H5:H12)</f>
        <v>750000</v>
      </c>
      <c r="E14" s="9">
        <f>SUMIF('Opportunity Pipeline'!E5:E12, "04 - Technical Evaluation", 'Opportunity Pipeline'!I5:I12)</f>
        <v>180000</v>
      </c>
    </row>
    <row r="15" spans="2:10" x14ac:dyDescent="0.3">
      <c r="B15" s="4" t="s">
        <v>13</v>
      </c>
      <c r="C15" s="5">
        <f>COUNTIF('Opportunity Pipeline'!E5:E12, "05 - Negotiation")</f>
        <v>1</v>
      </c>
      <c r="D15" s="6">
        <f>SUMIF('Opportunity Pipeline'!E5:E12, "05 - Negotiation", 'Opportunity Pipeline'!H5:H12)</f>
        <v>180000</v>
      </c>
      <c r="E15" s="6">
        <f>SUMIF('Opportunity Pipeline'!E5:E12, "05 - Negotiation", 'Opportunity Pipeline'!I5:I12)</f>
        <v>97200</v>
      </c>
    </row>
    <row r="16" spans="2:10" x14ac:dyDescent="0.3">
      <c r="B16" s="7" t="s">
        <v>14</v>
      </c>
      <c r="C16" s="8">
        <f>COUNTIF('Opportunity Pipeline'!E5:E12, "06 - Closed Won")</f>
        <v>1</v>
      </c>
      <c r="D16" s="9">
        <f>SUMIF('Opportunity Pipeline'!E5:E12, "06 - Closed Won", 'Opportunity Pipeline'!H5:H12)</f>
        <v>320000</v>
      </c>
      <c r="E16" s="9">
        <f>SUMIF('Opportunity Pipeline'!E5:E12, "06 - Closed Won", 'Opportunity Pipeline'!I5:I12)</f>
        <v>192000</v>
      </c>
    </row>
    <row r="17" spans="2:5" x14ac:dyDescent="0.3">
      <c r="B17" s="4" t="s">
        <v>15</v>
      </c>
      <c r="C17" s="5">
        <f>COUNTIF('Opportunity Pipeline'!E5:E12, "07 - Closed Lost")</f>
        <v>1</v>
      </c>
      <c r="D17" s="6">
        <f>SUMIF('Opportunity Pipeline'!E5:E12, "07 - Closed Lost", 'Opportunity Pipeline'!H5:H12)</f>
        <v>210000</v>
      </c>
      <c r="E17" s="6">
        <f>SUMIF('Opportunity Pipeline'!E5:E12, "07 - Closed Lost", 'Opportunity Pipeline'!I5:I12)</f>
        <v>0</v>
      </c>
    </row>
    <row r="18" spans="2:5" x14ac:dyDescent="0.3">
      <c r="B18" s="10" t="s">
        <v>16</v>
      </c>
      <c r="C18" s="11">
        <f>SUM(C11:C17)</f>
        <v>8</v>
      </c>
      <c r="D18" s="12">
        <f>SUM(D11:D17)</f>
        <v>2780000</v>
      </c>
      <c r="E18" s="12">
        <f>SUM(E11:E17)</f>
        <v>739800</v>
      </c>
    </row>
  </sheetData>
  <mergeCells count="6">
    <mergeCell ref="B5:D6"/>
    <mergeCell ref="E5:G6"/>
    <mergeCell ref="B4:D4"/>
    <mergeCell ref="H4:J4"/>
    <mergeCell ref="H5:J6"/>
    <mergeCell ref="E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>
      <selection activeCell="B13" sqref="B13"/>
    </sheetView>
  </sheetViews>
  <sheetFormatPr defaultColWidth="28.44140625" defaultRowHeight="14.4" x14ac:dyDescent="0.3"/>
  <cols>
    <col min="1" max="1" width="18.88671875" style="18" customWidth="1"/>
    <col min="2" max="3" width="28.44140625" style="18"/>
    <col min="4" max="4" width="20" style="18" customWidth="1"/>
    <col min="5" max="5" width="28.44140625" style="18"/>
    <col min="6" max="7" width="19.5546875" style="20" customWidth="1"/>
    <col min="8" max="8" width="14.109375" style="18" customWidth="1"/>
    <col min="9" max="9" width="15" style="18" customWidth="1"/>
    <col min="10" max="10" width="19.88671875" style="18" customWidth="1"/>
    <col min="11" max="16384" width="28.44140625" style="18"/>
  </cols>
  <sheetData>
    <row r="1" spans="1:14" ht="21" x14ac:dyDescent="0.3">
      <c r="A1" s="24" t="s">
        <v>17</v>
      </c>
    </row>
    <row r="2" spans="1:14" ht="15.6" x14ac:dyDescent="0.3">
      <c r="A2" s="25" t="s">
        <v>18</v>
      </c>
    </row>
    <row r="4" spans="1:14" ht="28.05" customHeight="1" x14ac:dyDescent="0.3">
      <c r="A4" s="13" t="s">
        <v>19</v>
      </c>
      <c r="B4" s="13" t="s">
        <v>20</v>
      </c>
      <c r="C4" s="13" t="s">
        <v>21</v>
      </c>
      <c r="D4" s="13" t="s">
        <v>22</v>
      </c>
      <c r="E4" s="13" t="s">
        <v>5</v>
      </c>
      <c r="F4" s="13" t="s">
        <v>84</v>
      </c>
      <c r="G4" s="13" t="s">
        <v>85</v>
      </c>
      <c r="H4" s="13" t="s">
        <v>23</v>
      </c>
      <c r="I4" s="13" t="s">
        <v>24</v>
      </c>
      <c r="J4" s="13" t="s">
        <v>25</v>
      </c>
      <c r="K4" s="13" t="s">
        <v>26</v>
      </c>
      <c r="L4" s="13" t="s">
        <v>27</v>
      </c>
      <c r="M4" s="13" t="s">
        <v>28</v>
      </c>
      <c r="N4" s="13" t="s">
        <v>29</v>
      </c>
    </row>
    <row r="5" spans="1:14" x14ac:dyDescent="0.3">
      <c r="A5" s="26" t="s">
        <v>30</v>
      </c>
      <c r="B5" s="27" t="s">
        <v>31</v>
      </c>
      <c r="C5" s="27" t="s">
        <v>32</v>
      </c>
      <c r="D5" s="27" t="s">
        <v>33</v>
      </c>
      <c r="E5" s="26" t="s">
        <v>11</v>
      </c>
      <c r="F5" s="21">
        <v>0.6</v>
      </c>
      <c r="G5" s="21">
        <v>0.6</v>
      </c>
      <c r="H5" s="28">
        <v>250000</v>
      </c>
      <c r="I5" s="28">
        <f>H5*F5*G5</f>
        <v>90000</v>
      </c>
      <c r="J5" s="26" t="s">
        <v>34</v>
      </c>
      <c r="K5" s="27" t="s">
        <v>35</v>
      </c>
      <c r="L5" s="27" t="s">
        <v>36</v>
      </c>
      <c r="M5" s="27" t="s">
        <v>37</v>
      </c>
      <c r="N5" s="26" t="s">
        <v>38</v>
      </c>
    </row>
    <row r="6" spans="1:14" x14ac:dyDescent="0.3">
      <c r="A6" s="29" t="s">
        <v>39</v>
      </c>
      <c r="B6" s="30" t="s">
        <v>40</v>
      </c>
      <c r="C6" s="30" t="s">
        <v>41</v>
      </c>
      <c r="D6" s="30" t="s">
        <v>42</v>
      </c>
      <c r="E6" s="29" t="s">
        <v>9</v>
      </c>
      <c r="F6" s="22">
        <v>0.2</v>
      </c>
      <c r="G6" s="21">
        <v>0.6</v>
      </c>
      <c r="H6" s="31">
        <v>500000</v>
      </c>
      <c r="I6" s="28">
        <f t="shared" ref="I6:I12" si="0">H6*F6*G6</f>
        <v>60000</v>
      </c>
      <c r="J6" s="29" t="s">
        <v>43</v>
      </c>
      <c r="K6" s="30" t="s">
        <v>44</v>
      </c>
      <c r="L6" s="30" t="s">
        <v>36</v>
      </c>
      <c r="M6" s="30" t="s">
        <v>45</v>
      </c>
      <c r="N6" s="29" t="s">
        <v>38</v>
      </c>
    </row>
    <row r="7" spans="1:14" x14ac:dyDescent="0.3">
      <c r="A7" s="26" t="s">
        <v>46</v>
      </c>
      <c r="B7" s="27" t="s">
        <v>47</v>
      </c>
      <c r="C7" s="27" t="s">
        <v>48</v>
      </c>
      <c r="D7" s="27" t="s">
        <v>49</v>
      </c>
      <c r="E7" s="26" t="s">
        <v>13</v>
      </c>
      <c r="F7" s="21">
        <v>0.9</v>
      </c>
      <c r="G7" s="21">
        <v>0.6</v>
      </c>
      <c r="H7" s="28">
        <v>180000</v>
      </c>
      <c r="I7" s="28">
        <f t="shared" si="0"/>
        <v>97200</v>
      </c>
      <c r="J7" s="26" t="s">
        <v>50</v>
      </c>
      <c r="K7" s="27" t="s">
        <v>51</v>
      </c>
      <c r="L7" s="27" t="s">
        <v>52</v>
      </c>
      <c r="M7" s="27" t="s">
        <v>53</v>
      </c>
      <c r="N7" s="26" t="s">
        <v>38</v>
      </c>
    </row>
    <row r="8" spans="1:14" x14ac:dyDescent="0.3">
      <c r="A8" s="29" t="s">
        <v>54</v>
      </c>
      <c r="B8" s="30" t="s">
        <v>55</v>
      </c>
      <c r="C8" s="30" t="s">
        <v>56</v>
      </c>
      <c r="D8" s="30" t="s">
        <v>57</v>
      </c>
      <c r="E8" s="29" t="s">
        <v>12</v>
      </c>
      <c r="F8" s="22">
        <v>0.4</v>
      </c>
      <c r="G8" s="21">
        <v>0.6</v>
      </c>
      <c r="H8" s="31">
        <v>750000</v>
      </c>
      <c r="I8" s="28">
        <f t="shared" si="0"/>
        <v>180000</v>
      </c>
      <c r="J8" s="29" t="s">
        <v>58</v>
      </c>
      <c r="K8" s="30" t="s">
        <v>44</v>
      </c>
      <c r="L8" s="30" t="s">
        <v>59</v>
      </c>
      <c r="M8" s="30" t="s">
        <v>60</v>
      </c>
      <c r="N8" s="29" t="s">
        <v>38</v>
      </c>
    </row>
    <row r="9" spans="1:14" x14ac:dyDescent="0.3">
      <c r="A9" s="26" t="s">
        <v>61</v>
      </c>
      <c r="B9" s="27" t="s">
        <v>62</v>
      </c>
      <c r="C9" s="27" t="s">
        <v>63</v>
      </c>
      <c r="D9" s="27" t="s">
        <v>33</v>
      </c>
      <c r="E9" s="26" t="s">
        <v>14</v>
      </c>
      <c r="F9" s="21">
        <v>1</v>
      </c>
      <c r="G9" s="21">
        <v>0.6</v>
      </c>
      <c r="H9" s="28">
        <v>320000</v>
      </c>
      <c r="I9" s="28">
        <f t="shared" si="0"/>
        <v>192000</v>
      </c>
      <c r="J9" s="26" t="s">
        <v>64</v>
      </c>
      <c r="K9" s="27" t="s">
        <v>35</v>
      </c>
      <c r="L9" s="27" t="s">
        <v>36</v>
      </c>
      <c r="M9" s="27" t="s">
        <v>65</v>
      </c>
      <c r="N9" s="26" t="s">
        <v>66</v>
      </c>
    </row>
    <row r="10" spans="1:14" x14ac:dyDescent="0.3">
      <c r="A10" s="29" t="s">
        <v>67</v>
      </c>
      <c r="B10" s="30" t="s">
        <v>68</v>
      </c>
      <c r="C10" s="30" t="s">
        <v>69</v>
      </c>
      <c r="D10" s="30" t="s">
        <v>42</v>
      </c>
      <c r="E10" s="29" t="s">
        <v>10</v>
      </c>
      <c r="F10" s="22">
        <v>0.3</v>
      </c>
      <c r="G10" s="21">
        <v>0.6</v>
      </c>
      <c r="H10" s="31">
        <v>420000</v>
      </c>
      <c r="I10" s="28">
        <f t="shared" si="0"/>
        <v>75600</v>
      </c>
      <c r="J10" s="29" t="s">
        <v>70</v>
      </c>
      <c r="K10" s="30" t="s">
        <v>51</v>
      </c>
      <c r="L10" s="30" t="s">
        <v>52</v>
      </c>
      <c r="M10" s="30" t="s">
        <v>71</v>
      </c>
      <c r="N10" s="29" t="s">
        <v>38</v>
      </c>
    </row>
    <row r="11" spans="1:14" x14ac:dyDescent="0.3">
      <c r="A11" s="26" t="s">
        <v>72</v>
      </c>
      <c r="B11" s="27" t="s">
        <v>73</v>
      </c>
      <c r="C11" s="27" t="s">
        <v>74</v>
      </c>
      <c r="D11" s="27" t="s">
        <v>49</v>
      </c>
      <c r="E11" s="26" t="s">
        <v>15</v>
      </c>
      <c r="F11" s="21">
        <v>0</v>
      </c>
      <c r="G11" s="21">
        <v>0</v>
      </c>
      <c r="H11" s="28">
        <v>210000</v>
      </c>
      <c r="I11" s="28">
        <f t="shared" si="0"/>
        <v>0</v>
      </c>
      <c r="J11" s="26" t="s">
        <v>75</v>
      </c>
      <c r="K11" s="27" t="s">
        <v>35</v>
      </c>
      <c r="L11" s="27" t="s">
        <v>36</v>
      </c>
      <c r="M11" s="27" t="s">
        <v>76</v>
      </c>
      <c r="N11" s="26" t="s">
        <v>77</v>
      </c>
    </row>
    <row r="12" spans="1:14" x14ac:dyDescent="0.3">
      <c r="A12" s="29" t="s">
        <v>78</v>
      </c>
      <c r="B12" s="30" t="s">
        <v>79</v>
      </c>
      <c r="C12" s="30" t="s">
        <v>80</v>
      </c>
      <c r="D12" s="30" t="s">
        <v>33</v>
      </c>
      <c r="E12" s="29" t="s">
        <v>11</v>
      </c>
      <c r="F12" s="22">
        <v>0.5</v>
      </c>
      <c r="G12" s="21">
        <v>0.6</v>
      </c>
      <c r="H12" s="31">
        <v>150000</v>
      </c>
      <c r="I12" s="28">
        <f t="shared" si="0"/>
        <v>45000</v>
      </c>
      <c r="J12" s="29" t="s">
        <v>81</v>
      </c>
      <c r="K12" s="30" t="s">
        <v>44</v>
      </c>
      <c r="L12" s="30" t="s">
        <v>36</v>
      </c>
      <c r="M12" s="30" t="s">
        <v>82</v>
      </c>
      <c r="N12" s="29" t="s">
        <v>38</v>
      </c>
    </row>
    <row r="13" spans="1:14" x14ac:dyDescent="0.3">
      <c r="A13" s="19"/>
      <c r="B13" s="19" t="s">
        <v>83</v>
      </c>
      <c r="C13" s="19"/>
      <c r="D13" s="19"/>
      <c r="E13" s="19"/>
      <c r="F13" s="23"/>
      <c r="G13" s="23"/>
      <c r="H13" s="32">
        <f>SUM(H5:H12)</f>
        <v>2780000</v>
      </c>
      <c r="I13" s="32">
        <f>SUM(I5:I12)</f>
        <v>739800</v>
      </c>
      <c r="J13" s="19"/>
      <c r="K13" s="19"/>
      <c r="L13" s="19"/>
      <c r="M13" s="19"/>
      <c r="N13" s="1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Pipeline Dashboard</vt:lpstr>
      <vt:lpstr>Opportunity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Arria Cocei-Stacy</cp:lastModifiedBy>
  <dcterms:created xsi:type="dcterms:W3CDTF">2026-06-01T13:53:59Z</dcterms:created>
  <dcterms:modified xsi:type="dcterms:W3CDTF">2026-06-01T14:04:18Z</dcterms:modified>
</cp:coreProperties>
</file>