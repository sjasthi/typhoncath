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ria\Downloads\"/>
    </mc:Choice>
  </mc:AlternateContent>
  <xr:revisionPtr revIDLastSave="0" documentId="13_ncr:1_{954DD9F1-3BAE-4D4B-9159-E1D37B282D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counts" sheetId="1" r:id="rId1"/>
    <sheet name="Contacts" sheetId="2" r:id="rId2"/>
    <sheet name="Interactions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I2" i="3"/>
  <c r="C3" i="3"/>
  <c r="D3" i="3"/>
  <c r="I3" i="3"/>
  <c r="C4" i="3"/>
  <c r="D4" i="3"/>
  <c r="I4" i="3"/>
  <c r="C5" i="3"/>
  <c r="D5" i="3"/>
  <c r="I5" i="3"/>
  <c r="D13" i="2"/>
  <c r="G13" i="1"/>
  <c r="F13" i="1"/>
</calcChain>
</file>

<file path=xl/sharedStrings.xml><?xml version="1.0" encoding="utf-8"?>
<sst xmlns="http://schemas.openxmlformats.org/spreadsheetml/2006/main" count="240" uniqueCount="202">
  <si>
    <t>Typhon Catheter LLC - CRM Directory</t>
  </si>
  <si>
    <t>Account Master Directory (Companies, OEMs, &amp; Institutions)</t>
  </si>
  <si>
    <t>Account ID</t>
  </si>
  <si>
    <t>Account Name</t>
  </si>
  <si>
    <t>Relationship Type</t>
  </si>
  <si>
    <t>Industry Segment</t>
  </si>
  <si>
    <t>Annual Revenue Est.</t>
  </si>
  <si>
    <t>Employee Count</t>
  </si>
  <si>
    <t>Website</t>
  </si>
  <si>
    <t>HQ Phone</t>
  </si>
  <si>
    <t>Billing City</t>
  </si>
  <si>
    <t>Billing State/Region</t>
  </si>
  <si>
    <t>Account Status</t>
  </si>
  <si>
    <t>ACC-001</t>
  </si>
  <si>
    <t>Medtronic</t>
  </si>
  <si>
    <t>Tier 1 OEM</t>
  </si>
  <si>
    <t>Cardiovascular</t>
  </si>
  <si>
    <t>www.medtronic.com</t>
  </si>
  <si>
    <t>763-514-4000</t>
  </si>
  <si>
    <t>Minneapolis</t>
  </si>
  <si>
    <t>MN</t>
  </si>
  <si>
    <t>Active</t>
  </si>
  <si>
    <t>Sarah Jenkins</t>
  </si>
  <si>
    <t>ACC-002</t>
  </si>
  <si>
    <t>Boston Scientific</t>
  </si>
  <si>
    <t>Electrophysiology</t>
  </si>
  <si>
    <t>www.bostonscientific.com</t>
  </si>
  <si>
    <t>508-683-4000</t>
  </si>
  <si>
    <t>Marlborough</t>
  </si>
  <si>
    <t>MA</t>
  </si>
  <si>
    <t>Michael Chang</t>
  </si>
  <si>
    <t>ACC-003</t>
  </si>
  <si>
    <t>Edwards Lifesciences</t>
  </si>
  <si>
    <t>Strategic Partner</t>
  </si>
  <si>
    <t>Structural Heart</t>
  </si>
  <si>
    <t>www.edwards.com</t>
  </si>
  <si>
    <t>949-250-2500</t>
  </si>
  <si>
    <t>Irvine</t>
  </si>
  <si>
    <t>CA</t>
  </si>
  <si>
    <t>Elena Rostova</t>
  </si>
  <si>
    <t>ACC-004</t>
  </si>
  <si>
    <t>Terumo Medical</t>
  </si>
  <si>
    <t>Tier 2 OEM</t>
  </si>
  <si>
    <t>Peripheral Interventions</t>
  </si>
  <si>
    <t>www.terumomedical.com</t>
  </si>
  <si>
    <t>732-302-4900</t>
  </si>
  <si>
    <t>Somerset</t>
  </si>
  <si>
    <t>NJ</t>
  </si>
  <si>
    <t>ACC-005</t>
  </si>
  <si>
    <t>Stryker</t>
  </si>
  <si>
    <t>Neurovascular</t>
  </si>
  <si>
    <t>www.stryker.com</t>
  </si>
  <si>
    <t>269-385-2600</t>
  </si>
  <si>
    <t>Kalamazoo</t>
  </si>
  <si>
    <t>MI</t>
  </si>
  <si>
    <t>ACC-006</t>
  </si>
  <si>
    <t>Abbott Laboratories</t>
  </si>
  <si>
    <t>Vascular / Structural</t>
  </si>
  <si>
    <t>www.abbott.com</t>
  </si>
  <si>
    <t>224-667-6100</t>
  </si>
  <si>
    <t>Abbott Park</t>
  </si>
  <si>
    <t>IL</t>
  </si>
  <si>
    <t>ACC-007</t>
  </si>
  <si>
    <t>Cook Medical</t>
  </si>
  <si>
    <t>Prospect</t>
  </si>
  <si>
    <t>Endovascular</t>
  </si>
  <si>
    <t>www.cookmedical.com</t>
  </si>
  <si>
    <t>812-339-2235</t>
  </si>
  <si>
    <t>Bloomington</t>
  </si>
  <si>
    <t>IN</t>
  </si>
  <si>
    <t>Inactive</t>
  </si>
  <si>
    <t>ACC-008</t>
  </si>
  <si>
    <t>Cordis</t>
  </si>
  <si>
    <t>Interventional Cardiology</t>
  </si>
  <si>
    <t>www.cordis.com</t>
  </si>
  <si>
    <t>786-313-2000</t>
  </si>
  <si>
    <t>Miami Lakes</t>
  </si>
  <si>
    <t>FL</t>
  </si>
  <si>
    <t>Total Account Records Summary</t>
  </si>
  <si>
    <t>Contact Directory (Key Engineers, Executives, &amp; Buyers)</t>
  </si>
  <si>
    <t>Contact ID</t>
  </si>
  <si>
    <t>First Name</t>
  </si>
  <si>
    <t>Last Name</t>
  </si>
  <si>
    <t>Associated Account</t>
  </si>
  <si>
    <t>Job Title / Role</t>
  </si>
  <si>
    <t>Department</t>
  </si>
  <si>
    <t>Email Address</t>
  </si>
  <si>
    <t>Direct Phone</t>
  </si>
  <si>
    <t>Mobile Phone</t>
  </si>
  <si>
    <t>LinkedIn URL</t>
  </si>
  <si>
    <t>Contact Status</t>
  </si>
  <si>
    <t>Notes / Last Touchpoint</t>
  </si>
  <si>
    <t>CON-001</t>
  </si>
  <si>
    <t>David</t>
  </si>
  <si>
    <t>Stanton</t>
  </si>
  <si>
    <t>VP of R&amp;D</t>
  </si>
  <si>
    <t>Cardiovascular Systems</t>
  </si>
  <si>
    <t>d.stanton@medtronic.com</t>
  </si>
  <si>
    <t>763-514-1102</t>
  </si>
  <si>
    <t>612-555-0143</t>
  </si>
  <si>
    <t>linkedin.com/in/dummy-david</t>
  </si>
  <si>
    <t>Reviewed catheter design modifications last Tuesday.</t>
  </si>
  <si>
    <t>CON-002</t>
  </si>
  <si>
    <t>Amanda</t>
  </si>
  <si>
    <t>Lin</t>
  </si>
  <si>
    <t>Principal Catheter Engineer</t>
  </si>
  <si>
    <t>Electrophysiology R&amp;D</t>
  </si>
  <si>
    <t>amanda.lin@bsci.com</t>
  </si>
  <si>
    <t>508-683-2291</t>
  </si>
  <si>
    <t>774-555-0182</t>
  </si>
  <si>
    <t>linkedin.com/in/dummy-amanda</t>
  </si>
  <si>
    <t>Interested in nitinol shape-setting capabilities.</t>
  </si>
  <si>
    <t>CON-003</t>
  </si>
  <si>
    <t>Robert</t>
  </si>
  <si>
    <t>Drury</t>
  </si>
  <si>
    <t>Director of Procurement</t>
  </si>
  <si>
    <t>Global Sourcing</t>
  </si>
  <si>
    <t>robert_drury@edwards.com</t>
  </si>
  <si>
    <t>949-250-8841</t>
  </si>
  <si>
    <t>949-555-0129</t>
  </si>
  <si>
    <t>linkedin.com/in/dummy-robert</t>
  </si>
  <si>
    <t>Requested pricing breakdown for custom laser processing.</t>
  </si>
  <si>
    <t>CON-004</t>
  </si>
  <si>
    <t>Kenji</t>
  </si>
  <si>
    <t>Tanaka</t>
  </si>
  <si>
    <t>Senior Project Manager</t>
  </si>
  <si>
    <t>Tech Transfer &amp; Scaleup</t>
  </si>
  <si>
    <t>kenji.tanaka@terumo.com</t>
  </si>
  <si>
    <t>732-302-1155</t>
  </si>
  <si>
    <t>Awaiting baseline prototype benchmark data.</t>
  </si>
  <si>
    <t>CON-005</t>
  </si>
  <si>
    <t>Marcus</t>
  </si>
  <si>
    <t>Vance</t>
  </si>
  <si>
    <t>Chief Architect</t>
  </si>
  <si>
    <t>Neurovascular Engineering</t>
  </si>
  <si>
    <t>marcus.vance@stryker.com</t>
  </si>
  <si>
    <t>269-385-4490</t>
  </si>
  <si>
    <t>269-555-0199</t>
  </si>
  <si>
    <t>linkedin.com/in/dummy-marcus</t>
  </si>
  <si>
    <t>Exploring braided shaft structural options.</t>
  </si>
  <si>
    <t>CON-006</t>
  </si>
  <si>
    <t>Claire</t>
  </si>
  <si>
    <t>Gagnon</t>
  </si>
  <si>
    <t>Engineering Manager</t>
  </si>
  <si>
    <t>Vascular Structural Components</t>
  </si>
  <si>
    <t>claire.gagnon@abbott.com</t>
  </si>
  <si>
    <t>224-667-3381</t>
  </si>
  <si>
    <t>linkedin.com/in/dummy-claire</t>
  </si>
  <si>
    <t>Introductory scoping call completed.</t>
  </si>
  <si>
    <t>CON-007</t>
  </si>
  <si>
    <t>Jonathan</t>
  </si>
  <si>
    <t>Pryce</t>
  </si>
  <si>
    <t>Lead Procurement Specialist</t>
  </si>
  <si>
    <t>Sourcing Division</t>
  </si>
  <si>
    <t>j.pryce@cookmedical.com</t>
  </si>
  <si>
    <t>812-339-7712</t>
  </si>
  <si>
    <t>812-555-0164</t>
  </si>
  <si>
    <t>Project paused internally by client decision.</t>
  </si>
  <si>
    <t>CON-008</t>
  </si>
  <si>
    <t>Sofia</t>
  </si>
  <si>
    <t>Rodriguez</t>
  </si>
  <si>
    <t>Senior Component Engineer</t>
  </si>
  <si>
    <t>Interventional Technology</t>
  </si>
  <si>
    <t>sofia.rodriguez@cordis.com</t>
  </si>
  <si>
    <t>786-313-4412</t>
  </si>
  <si>
    <t>305-555-0177</t>
  </si>
  <si>
    <t>linkedin.com/in/dummy-sofia</t>
  </si>
  <si>
    <t>Sent proposal version 2 for braided shaft evaluation.</t>
  </si>
  <si>
    <t>Total Contacts Logged</t>
  </si>
  <si>
    <t>Typhon Account Owner</t>
  </si>
  <si>
    <t>Date Created</t>
  </si>
  <si>
    <t>Lead Source</t>
  </si>
  <si>
    <t>Referral</t>
  </si>
  <si>
    <t>Outreach</t>
  </si>
  <si>
    <t>Web / Digital</t>
  </si>
  <si>
    <t>Purchased</t>
  </si>
  <si>
    <t>John Doe</t>
  </si>
  <si>
    <t>MDM List</t>
  </si>
  <si>
    <t>Lead Source Detail</t>
  </si>
  <si>
    <t>Date Entered</t>
  </si>
  <si>
    <t>Interactions</t>
  </si>
  <si>
    <t>Pending</t>
  </si>
  <si>
    <t>Met at corporate HQ. Strong interest in regional fractional marketing deployment.</t>
  </si>
  <si>
    <t>In-Person</t>
  </si>
  <si>
    <t>CON-504</t>
  </si>
  <si>
    <t>Followed up on proposed contract terms for medical device component processing.</t>
  </si>
  <si>
    <t>Email</t>
  </si>
  <si>
    <t>CON-502</t>
  </si>
  <si>
    <t>Reviewed capabilities presentation. Championed to VP. Schedule deep-dive next week.</t>
  </si>
  <si>
    <t>Zoom Call</t>
  </si>
  <si>
    <t>CON-501</t>
  </si>
  <si>
    <t>Completed</t>
  </si>
  <si>
    <t>Initial alignment on team coaching and strategy needs. Sent NDA.</t>
  </si>
  <si>
    <t>Discovery Call</t>
  </si>
  <si>
    <t>Days Overdue</t>
  </si>
  <si>
    <t>Status</t>
  </si>
  <si>
    <t>Follow-up Date</t>
  </si>
  <si>
    <t>Summary / Notes</t>
  </si>
  <si>
    <t>Interaction Type</t>
  </si>
  <si>
    <t>Company (Lookup)</t>
  </si>
  <si>
    <t>Contact Name (Lookup)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</si>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</sst>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6" formatCode="yyyy\-mm\-dd"/>
  </numFmts>
  <fonts count="8" x14ac:knownFonts="1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i/>
      <sz val="11"/>
      <color rgb="FF555555"/>
      <name val="Calibri"/>
    </font>
    <font>
      <b/>
      <sz val="11"/>
      <color rgb="FFFFFFFF"/>
      <name val="Calibri"/>
    </font>
    <font>
      <sz val="11"/>
      <color rgb="FF333333"/>
      <name val="Calibri"/>
    </font>
    <font>
      <b/>
      <sz val="11"/>
      <color rgb="FF1B365D"/>
      <name val="Calibri"/>
    </font>
    <font>
      <sz val="11"/>
      <color rgb="FF000000"/>
      <name val="Segoe UI"/>
    </font>
    <font>
      <b/>
      <sz val="11"/>
      <color rgb="FFFFFFFF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7F9FB"/>
        <bgColor rgb="FFF7F9FB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double">
        <color rgb="FF1B365D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164" fontId="5" fillId="0" borderId="2" xfId="0" applyNumberFormat="1" applyFont="1" applyBorder="1" applyAlignment="1">
      <alignment vertical="center"/>
    </xf>
    <xf numFmtId="3" fontId="5" fillId="0" borderId="2" xfId="0" applyNumberFormat="1" applyFont="1" applyBorder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3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1641144</xdr:colOff>
      <xdr:row>15</xdr:row>
      <xdr:rowOff>30295</xdr:rowOff>
    </xdr:from>
    <xdr:ext cx="4947316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939CED6-6EAD-D53D-DCD6-ADC0AD92FF1C}"/>
            </a:ext>
          </a:extLst>
        </xdr:cNvPr>
        <xdr:cNvSpPr/>
      </xdr:nvSpPr>
      <xdr:spPr>
        <a:xfrm>
          <a:off x="20127264" y="3002095"/>
          <a:ext cx="4947316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n-US" sz="5400" b="1" cap="none" spc="0">
              <a:ln/>
              <a:solidFill>
                <a:schemeClr val="accent3"/>
              </a:solidFill>
              <a:effectLst/>
            </a:rPr>
            <a:t>interactions TBD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304800</xdr:colOff>
      <xdr:row>7</xdr:row>
      <xdr:rowOff>83820</xdr:rowOff>
    </xdr:from>
    <xdr:ext cx="4947316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C24CE90-F09F-4CC6-AA6C-C53C6EFDEE05}"/>
            </a:ext>
          </a:extLst>
        </xdr:cNvPr>
        <xdr:cNvSpPr/>
      </xdr:nvSpPr>
      <xdr:spPr>
        <a:xfrm>
          <a:off x="4213860" y="1516380"/>
          <a:ext cx="4947316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n-US" sz="5400" b="1" cap="none" spc="0">
              <a:ln/>
              <a:solidFill>
                <a:schemeClr val="accent3"/>
              </a:solidFill>
              <a:effectLst/>
            </a:rPr>
            <a:t>interactions TBD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rria\Downloads\CRM_Interactions_Tracker.xlsx" TargetMode="External"/><Relationship Id="rId1" Type="http://schemas.openxmlformats.org/officeDocument/2006/relationships/externalLinkPath" Target="CRM_Interactions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Accounts"/>
      <sheetName val="Contacts"/>
    </sheetNames>
    <sheetDataSet>
      <sheetData sheetId="0"/>
      <sheetData sheetId="1"/>
      <sheetData sheetId="2">
        <row r="1">
          <cell r="A1" t="str">
            <v>Contact ID</v>
          </cell>
          <cell r="D1" t="str">
            <v>Full Name (Calc)</v>
          </cell>
          <cell r="I1" t="str">
            <v>Company (Lookup)</v>
          </cell>
        </row>
        <row r="2">
          <cell r="A2" t="str">
            <v>CON-501</v>
          </cell>
          <cell r="D2" t="str">
            <v>Sarah Connor</v>
          </cell>
          <cell r="I2" t="e">
            <v>#NAME?</v>
          </cell>
        </row>
        <row r="3">
          <cell r="A3" t="str">
            <v>CON-502</v>
          </cell>
          <cell r="D3" t="str">
            <v>Tony Stark</v>
          </cell>
          <cell r="I3" t="e">
            <v>#NAME?</v>
          </cell>
        </row>
        <row r="4">
          <cell r="A4" t="str">
            <v>CON-503</v>
          </cell>
          <cell r="D4" t="str">
            <v>Pepper Potts</v>
          </cell>
          <cell r="I4" t="e">
            <v>#NAME?</v>
          </cell>
        </row>
        <row r="5">
          <cell r="A5" t="str">
            <v>CON-504</v>
          </cell>
          <cell r="D5" t="str">
            <v>Marcus Vance</v>
          </cell>
          <cell r="I5" t="e">
            <v>#NAME?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topLeftCell="E1" workbookViewId="0">
      <selection activeCell="C5" sqref="C5"/>
    </sheetView>
  </sheetViews>
  <sheetFormatPr defaultRowHeight="14.4" x14ac:dyDescent="0.3"/>
  <cols>
    <col min="1" max="2" width="20.21875" style="3" customWidth="1"/>
    <col min="3" max="3" width="28.44140625" style="3" customWidth="1"/>
    <col min="4" max="4" width="21" style="3" customWidth="1"/>
    <col min="5" max="5" width="24" style="3" customWidth="1"/>
    <col min="6" max="6" width="20.109375" style="3" customWidth="1"/>
    <col min="7" max="7" width="18" style="3" customWidth="1"/>
    <col min="8" max="8" width="26" style="3" customWidth="1"/>
    <col min="9" max="10" width="16" style="3" customWidth="1"/>
    <col min="11" max="11" width="18.44140625" style="3" customWidth="1"/>
    <col min="12" max="12" width="18" style="3" customWidth="1"/>
    <col min="13" max="13" width="24" style="3" customWidth="1"/>
    <col min="14" max="16384" width="8.88671875" style="3"/>
  </cols>
  <sheetData>
    <row r="1" spans="1:13" ht="21" x14ac:dyDescent="0.3">
      <c r="A1" s="2" t="s">
        <v>0</v>
      </c>
      <c r="B1" s="2"/>
    </row>
    <row r="2" spans="1:13" x14ac:dyDescent="0.3">
      <c r="A2" s="4" t="s">
        <v>1</v>
      </c>
      <c r="B2" s="4"/>
    </row>
    <row r="4" spans="1:13" ht="25.95" customHeight="1" x14ac:dyDescent="0.3">
      <c r="A4" s="1" t="s">
        <v>2</v>
      </c>
      <c r="B4" s="1" t="s">
        <v>170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169</v>
      </c>
    </row>
    <row r="5" spans="1:13" x14ac:dyDescent="0.3">
      <c r="A5" s="5" t="s">
        <v>13</v>
      </c>
      <c r="B5" s="16">
        <v>46174</v>
      </c>
      <c r="C5" s="6" t="s">
        <v>14</v>
      </c>
      <c r="D5" s="5" t="s">
        <v>15</v>
      </c>
      <c r="E5" s="6" t="s">
        <v>16</v>
      </c>
      <c r="F5" s="7">
        <v>32000000000</v>
      </c>
      <c r="G5" s="8">
        <v>95000</v>
      </c>
      <c r="H5" s="6" t="s">
        <v>17</v>
      </c>
      <c r="I5" s="6" t="s">
        <v>18</v>
      </c>
      <c r="J5" s="6" t="s">
        <v>19</v>
      </c>
      <c r="K5" s="5" t="s">
        <v>20</v>
      </c>
      <c r="L5" s="5" t="s">
        <v>21</v>
      </c>
      <c r="M5" s="6" t="s">
        <v>22</v>
      </c>
    </row>
    <row r="6" spans="1:13" x14ac:dyDescent="0.3">
      <c r="A6" s="9" t="s">
        <v>23</v>
      </c>
      <c r="B6" s="16">
        <v>46175</v>
      </c>
      <c r="C6" s="10" t="s">
        <v>24</v>
      </c>
      <c r="D6" s="9" t="s">
        <v>15</v>
      </c>
      <c r="E6" s="10" t="s">
        <v>25</v>
      </c>
      <c r="F6" s="11">
        <v>14000000000</v>
      </c>
      <c r="G6" s="12">
        <v>41000</v>
      </c>
      <c r="H6" s="10" t="s">
        <v>26</v>
      </c>
      <c r="I6" s="10" t="s">
        <v>27</v>
      </c>
      <c r="J6" s="10" t="s">
        <v>28</v>
      </c>
      <c r="K6" s="9" t="s">
        <v>29</v>
      </c>
      <c r="L6" s="9" t="s">
        <v>21</v>
      </c>
      <c r="M6" s="10" t="s">
        <v>30</v>
      </c>
    </row>
    <row r="7" spans="1:13" x14ac:dyDescent="0.3">
      <c r="A7" s="5" t="s">
        <v>31</v>
      </c>
      <c r="B7" s="16">
        <v>46176</v>
      </c>
      <c r="C7" s="6" t="s">
        <v>32</v>
      </c>
      <c r="D7" s="5" t="s">
        <v>33</v>
      </c>
      <c r="E7" s="6" t="s">
        <v>34</v>
      </c>
      <c r="F7" s="7">
        <v>6000000000</v>
      </c>
      <c r="G7" s="8">
        <v>19000</v>
      </c>
      <c r="H7" s="6" t="s">
        <v>35</v>
      </c>
      <c r="I7" s="6" t="s">
        <v>36</v>
      </c>
      <c r="J7" s="6" t="s">
        <v>37</v>
      </c>
      <c r="K7" s="5" t="s">
        <v>38</v>
      </c>
      <c r="L7" s="5" t="s">
        <v>21</v>
      </c>
      <c r="M7" s="6" t="s">
        <v>39</v>
      </c>
    </row>
    <row r="8" spans="1:13" x14ac:dyDescent="0.3">
      <c r="A8" s="9" t="s">
        <v>40</v>
      </c>
      <c r="B8" s="16">
        <v>46177</v>
      </c>
      <c r="C8" s="10" t="s">
        <v>41</v>
      </c>
      <c r="D8" s="9" t="s">
        <v>42</v>
      </c>
      <c r="E8" s="10" t="s">
        <v>43</v>
      </c>
      <c r="F8" s="11">
        <v>7000000000</v>
      </c>
      <c r="G8" s="12">
        <v>30000</v>
      </c>
      <c r="H8" s="10" t="s">
        <v>44</v>
      </c>
      <c r="I8" s="10" t="s">
        <v>45</v>
      </c>
      <c r="J8" s="10" t="s">
        <v>46</v>
      </c>
      <c r="K8" s="9" t="s">
        <v>47</v>
      </c>
      <c r="L8" s="9" t="s">
        <v>21</v>
      </c>
      <c r="M8" s="10" t="s">
        <v>30</v>
      </c>
    </row>
    <row r="9" spans="1:13" x14ac:dyDescent="0.3">
      <c r="A9" s="5" t="s">
        <v>48</v>
      </c>
      <c r="B9" s="16">
        <v>46178</v>
      </c>
      <c r="C9" s="6" t="s">
        <v>49</v>
      </c>
      <c r="D9" s="5" t="s">
        <v>15</v>
      </c>
      <c r="E9" s="6" t="s">
        <v>50</v>
      </c>
      <c r="F9" s="7">
        <v>20000000000</v>
      </c>
      <c r="G9" s="8">
        <v>51000</v>
      </c>
      <c r="H9" s="6" t="s">
        <v>51</v>
      </c>
      <c r="I9" s="6" t="s">
        <v>52</v>
      </c>
      <c r="J9" s="6" t="s">
        <v>53</v>
      </c>
      <c r="K9" s="5" t="s">
        <v>54</v>
      </c>
      <c r="L9" s="5" t="s">
        <v>21</v>
      </c>
      <c r="M9" s="6" t="s">
        <v>22</v>
      </c>
    </row>
    <row r="10" spans="1:13" x14ac:dyDescent="0.3">
      <c r="A10" s="9" t="s">
        <v>55</v>
      </c>
      <c r="B10" s="16">
        <v>46179</v>
      </c>
      <c r="C10" s="10" t="s">
        <v>56</v>
      </c>
      <c r="D10" s="9" t="s">
        <v>15</v>
      </c>
      <c r="E10" s="10" t="s">
        <v>57</v>
      </c>
      <c r="F10" s="11">
        <v>40000000000</v>
      </c>
      <c r="G10" s="12">
        <v>114000</v>
      </c>
      <c r="H10" s="10" t="s">
        <v>58</v>
      </c>
      <c r="I10" s="10" t="s">
        <v>59</v>
      </c>
      <c r="J10" s="10" t="s">
        <v>60</v>
      </c>
      <c r="K10" s="9" t="s">
        <v>61</v>
      </c>
      <c r="L10" s="9" t="s">
        <v>21</v>
      </c>
      <c r="M10" s="10" t="s">
        <v>39</v>
      </c>
    </row>
    <row r="11" spans="1:13" x14ac:dyDescent="0.3">
      <c r="A11" s="5" t="s">
        <v>62</v>
      </c>
      <c r="B11" s="16">
        <v>46180</v>
      </c>
      <c r="C11" s="6" t="s">
        <v>63</v>
      </c>
      <c r="D11" s="5" t="s">
        <v>64</v>
      </c>
      <c r="E11" s="6" t="s">
        <v>65</v>
      </c>
      <c r="F11" s="7">
        <v>2500000000</v>
      </c>
      <c r="G11" s="8">
        <v>12000</v>
      </c>
      <c r="H11" s="6" t="s">
        <v>66</v>
      </c>
      <c r="I11" s="6" t="s">
        <v>67</v>
      </c>
      <c r="J11" s="6" t="s">
        <v>68</v>
      </c>
      <c r="K11" s="5" t="s">
        <v>69</v>
      </c>
      <c r="L11" s="5" t="s">
        <v>70</v>
      </c>
      <c r="M11" s="6" t="s">
        <v>22</v>
      </c>
    </row>
    <row r="12" spans="1:13" x14ac:dyDescent="0.3">
      <c r="A12" s="9" t="s">
        <v>71</v>
      </c>
      <c r="B12" s="16">
        <v>46181</v>
      </c>
      <c r="C12" s="10" t="s">
        <v>72</v>
      </c>
      <c r="D12" s="9" t="s">
        <v>42</v>
      </c>
      <c r="E12" s="10" t="s">
        <v>73</v>
      </c>
      <c r="F12" s="11">
        <v>1200000000</v>
      </c>
      <c r="G12" s="12">
        <v>3500</v>
      </c>
      <c r="H12" s="10" t="s">
        <v>74</v>
      </c>
      <c r="I12" s="10" t="s">
        <v>75</v>
      </c>
      <c r="J12" s="10" t="s">
        <v>76</v>
      </c>
      <c r="K12" s="9" t="s">
        <v>77</v>
      </c>
      <c r="L12" s="9" t="s">
        <v>21</v>
      </c>
      <c r="M12" s="10" t="s">
        <v>30</v>
      </c>
    </row>
    <row r="13" spans="1:13" x14ac:dyDescent="0.3">
      <c r="A13" s="13"/>
      <c r="B13" s="13"/>
      <c r="C13" s="13" t="s">
        <v>78</v>
      </c>
      <c r="D13" s="13"/>
      <c r="E13" s="13"/>
      <c r="F13" s="14">
        <f>SUM(F5:F12)</f>
        <v>122700000000</v>
      </c>
      <c r="G13" s="15">
        <f>SUM(G5:G12)</f>
        <v>365500</v>
      </c>
      <c r="H13" s="13"/>
      <c r="I13" s="13"/>
      <c r="J13" s="13"/>
      <c r="K13" s="13"/>
      <c r="L13" s="13"/>
      <c r="M13" s="1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"/>
  <sheetViews>
    <sheetView topLeftCell="J1" workbookViewId="0">
      <selection activeCell="N4" sqref="N4"/>
    </sheetView>
  </sheetViews>
  <sheetFormatPr defaultColWidth="25" defaultRowHeight="14.4" x14ac:dyDescent="0.3"/>
  <cols>
    <col min="1" max="2" width="19.77734375" style="17" customWidth="1"/>
    <col min="3" max="3" width="19.5546875" style="17" customWidth="1"/>
    <col min="4" max="4" width="16.77734375" style="17" customWidth="1"/>
    <col min="5" max="11" width="25" style="17"/>
    <col min="12" max="12" width="18.6640625" style="17" customWidth="1"/>
    <col min="13" max="13" width="25" style="17"/>
    <col min="14" max="15" width="18.21875" style="17" customWidth="1"/>
    <col min="16" max="16" width="25" style="22"/>
    <col min="17" max="16384" width="25" style="17"/>
  </cols>
  <sheetData>
    <row r="1" spans="1:16" ht="21" x14ac:dyDescent="0.3">
      <c r="A1" s="19" t="s">
        <v>0</v>
      </c>
      <c r="B1" s="19"/>
    </row>
    <row r="2" spans="1:16" x14ac:dyDescent="0.3">
      <c r="A2" s="20" t="s">
        <v>79</v>
      </c>
      <c r="B2" s="20"/>
    </row>
    <row r="4" spans="1:16" ht="25.95" customHeight="1" x14ac:dyDescent="0.3">
      <c r="A4" s="1" t="s">
        <v>80</v>
      </c>
      <c r="B4" s="1" t="s">
        <v>179</v>
      </c>
      <c r="C4" s="1" t="s">
        <v>81</v>
      </c>
      <c r="D4" s="1" t="s">
        <v>82</v>
      </c>
      <c r="E4" s="1" t="s">
        <v>83</v>
      </c>
      <c r="F4" s="1" t="s">
        <v>84</v>
      </c>
      <c r="G4" s="1" t="s">
        <v>85</v>
      </c>
      <c r="H4" s="1" t="s">
        <v>86</v>
      </c>
      <c r="I4" s="1" t="s">
        <v>87</v>
      </c>
      <c r="J4" s="1" t="s">
        <v>88</v>
      </c>
      <c r="K4" s="1" t="s">
        <v>89</v>
      </c>
      <c r="L4" s="1" t="s">
        <v>171</v>
      </c>
      <c r="M4" s="1" t="s">
        <v>178</v>
      </c>
      <c r="N4" s="1" t="s">
        <v>90</v>
      </c>
      <c r="O4" s="1" t="s">
        <v>180</v>
      </c>
      <c r="P4" s="23" t="s">
        <v>91</v>
      </c>
    </row>
    <row r="5" spans="1:16" x14ac:dyDescent="0.3">
      <c r="A5" s="5" t="s">
        <v>92</v>
      </c>
      <c r="B5" s="16">
        <v>46174</v>
      </c>
      <c r="C5" s="5" t="s">
        <v>93</v>
      </c>
      <c r="D5" s="5" t="s">
        <v>94</v>
      </c>
      <c r="E5" s="5" t="s">
        <v>14</v>
      </c>
      <c r="F5" s="5" t="s">
        <v>95</v>
      </c>
      <c r="G5" s="5" t="s">
        <v>96</v>
      </c>
      <c r="H5" s="5" t="s">
        <v>97</v>
      </c>
      <c r="I5" s="5" t="s">
        <v>98</v>
      </c>
      <c r="J5" s="5" t="s">
        <v>99</v>
      </c>
      <c r="K5" s="5" t="s">
        <v>100</v>
      </c>
      <c r="L5" s="5" t="s">
        <v>172</v>
      </c>
      <c r="M5" s="5" t="s">
        <v>176</v>
      </c>
      <c r="N5" s="5" t="s">
        <v>21</v>
      </c>
      <c r="O5" s="5"/>
      <c r="P5" s="6" t="s">
        <v>101</v>
      </c>
    </row>
    <row r="6" spans="1:16" x14ac:dyDescent="0.3">
      <c r="A6" s="9" t="s">
        <v>102</v>
      </c>
      <c r="B6" s="16">
        <v>46175</v>
      </c>
      <c r="C6" s="9" t="s">
        <v>103</v>
      </c>
      <c r="D6" s="9" t="s">
        <v>104</v>
      </c>
      <c r="E6" s="9" t="s">
        <v>24</v>
      </c>
      <c r="F6" s="9" t="s">
        <v>105</v>
      </c>
      <c r="G6" s="9" t="s">
        <v>106</v>
      </c>
      <c r="H6" s="9" t="s">
        <v>107</v>
      </c>
      <c r="I6" s="9" t="s">
        <v>108</v>
      </c>
      <c r="J6" s="9" t="s">
        <v>109</v>
      </c>
      <c r="K6" s="9" t="s">
        <v>110</v>
      </c>
      <c r="L6" s="9" t="s">
        <v>173</v>
      </c>
      <c r="M6" s="9"/>
      <c r="N6" s="9" t="s">
        <v>21</v>
      </c>
      <c r="O6" s="9"/>
      <c r="P6" s="10" t="s">
        <v>111</v>
      </c>
    </row>
    <row r="7" spans="1:16" x14ac:dyDescent="0.3">
      <c r="A7" s="5" t="s">
        <v>112</v>
      </c>
      <c r="B7" s="16">
        <v>46176</v>
      </c>
      <c r="C7" s="5" t="s">
        <v>113</v>
      </c>
      <c r="D7" s="5" t="s">
        <v>114</v>
      </c>
      <c r="E7" s="5" t="s">
        <v>32</v>
      </c>
      <c r="F7" s="5" t="s">
        <v>115</v>
      </c>
      <c r="G7" s="5" t="s">
        <v>116</v>
      </c>
      <c r="H7" s="5" t="s">
        <v>117</v>
      </c>
      <c r="I7" s="5" t="s">
        <v>118</v>
      </c>
      <c r="J7" s="5" t="s">
        <v>119</v>
      </c>
      <c r="K7" s="5" t="s">
        <v>120</v>
      </c>
      <c r="L7" s="5" t="s">
        <v>174</v>
      </c>
      <c r="M7" s="5"/>
      <c r="N7" s="5" t="s">
        <v>21</v>
      </c>
      <c r="O7" s="5"/>
      <c r="P7" s="6" t="s">
        <v>121</v>
      </c>
    </row>
    <row r="8" spans="1:16" x14ac:dyDescent="0.3">
      <c r="A8" s="9" t="s">
        <v>122</v>
      </c>
      <c r="B8" s="16">
        <v>46177</v>
      </c>
      <c r="C8" s="9" t="s">
        <v>123</v>
      </c>
      <c r="D8" s="9" t="s">
        <v>124</v>
      </c>
      <c r="E8" s="9" t="s">
        <v>41</v>
      </c>
      <c r="F8" s="9" t="s">
        <v>125</v>
      </c>
      <c r="G8" s="9" t="s">
        <v>126</v>
      </c>
      <c r="H8" s="9" t="s">
        <v>127</v>
      </c>
      <c r="I8" s="9" t="s">
        <v>128</v>
      </c>
      <c r="J8" s="9"/>
      <c r="K8" s="9"/>
      <c r="L8" s="9" t="s">
        <v>175</v>
      </c>
      <c r="M8" s="9" t="s">
        <v>177</v>
      </c>
      <c r="N8" s="9" t="s">
        <v>21</v>
      </c>
      <c r="O8" s="9"/>
      <c r="P8" s="10" t="s">
        <v>129</v>
      </c>
    </row>
    <row r="9" spans="1:16" x14ac:dyDescent="0.3">
      <c r="A9" s="5" t="s">
        <v>130</v>
      </c>
      <c r="B9" s="16">
        <v>46178</v>
      </c>
      <c r="C9" s="5" t="s">
        <v>131</v>
      </c>
      <c r="D9" s="5" t="s">
        <v>132</v>
      </c>
      <c r="E9" s="5" t="s">
        <v>49</v>
      </c>
      <c r="F9" s="5" t="s">
        <v>133</v>
      </c>
      <c r="G9" s="5" t="s">
        <v>134</v>
      </c>
      <c r="H9" s="5" t="s">
        <v>135</v>
      </c>
      <c r="I9" s="5" t="s">
        <v>136</v>
      </c>
      <c r="J9" s="5" t="s">
        <v>137</v>
      </c>
      <c r="K9" s="5" t="s">
        <v>138</v>
      </c>
      <c r="L9" s="5" t="s">
        <v>172</v>
      </c>
      <c r="M9" s="5" t="s">
        <v>176</v>
      </c>
      <c r="N9" s="5" t="s">
        <v>21</v>
      </c>
      <c r="O9" s="5"/>
      <c r="P9" s="6" t="s">
        <v>139</v>
      </c>
    </row>
    <row r="10" spans="1:16" x14ac:dyDescent="0.3">
      <c r="A10" s="9" t="s">
        <v>140</v>
      </c>
      <c r="B10" s="16">
        <v>46179</v>
      </c>
      <c r="C10" s="9" t="s">
        <v>141</v>
      </c>
      <c r="D10" s="9" t="s">
        <v>142</v>
      </c>
      <c r="E10" s="9" t="s">
        <v>56</v>
      </c>
      <c r="F10" s="9" t="s">
        <v>143</v>
      </c>
      <c r="G10" s="9" t="s">
        <v>144</v>
      </c>
      <c r="H10" s="9" t="s">
        <v>145</v>
      </c>
      <c r="I10" s="9" t="s">
        <v>146</v>
      </c>
      <c r="J10" s="9"/>
      <c r="K10" s="9" t="s">
        <v>147</v>
      </c>
      <c r="L10" s="9"/>
      <c r="M10" s="9"/>
      <c r="N10" s="9" t="s">
        <v>21</v>
      </c>
      <c r="O10" s="9"/>
      <c r="P10" s="10" t="s">
        <v>148</v>
      </c>
    </row>
    <row r="11" spans="1:16" x14ac:dyDescent="0.3">
      <c r="A11" s="5" t="s">
        <v>149</v>
      </c>
      <c r="B11" s="16">
        <v>46180</v>
      </c>
      <c r="C11" s="5" t="s">
        <v>150</v>
      </c>
      <c r="D11" s="5" t="s">
        <v>151</v>
      </c>
      <c r="E11" s="5" t="s">
        <v>63</v>
      </c>
      <c r="F11" s="5" t="s">
        <v>152</v>
      </c>
      <c r="G11" s="5" t="s">
        <v>153</v>
      </c>
      <c r="H11" s="5" t="s">
        <v>154</v>
      </c>
      <c r="I11" s="5" t="s">
        <v>155</v>
      </c>
      <c r="J11" s="5" t="s">
        <v>156</v>
      </c>
      <c r="K11" s="5"/>
      <c r="L11" s="5"/>
      <c r="M11" s="5"/>
      <c r="N11" s="5" t="s">
        <v>70</v>
      </c>
      <c r="O11" s="5"/>
      <c r="P11" s="6" t="s">
        <v>157</v>
      </c>
    </row>
    <row r="12" spans="1:16" x14ac:dyDescent="0.3">
      <c r="A12" s="9" t="s">
        <v>158</v>
      </c>
      <c r="B12" s="16">
        <v>46181</v>
      </c>
      <c r="C12" s="9" t="s">
        <v>159</v>
      </c>
      <c r="D12" s="9" t="s">
        <v>160</v>
      </c>
      <c r="E12" s="9" t="s">
        <v>72</v>
      </c>
      <c r="F12" s="9" t="s">
        <v>161</v>
      </c>
      <c r="G12" s="9" t="s">
        <v>162</v>
      </c>
      <c r="H12" s="9" t="s">
        <v>163</v>
      </c>
      <c r="I12" s="9" t="s">
        <v>164</v>
      </c>
      <c r="J12" s="9" t="s">
        <v>165</v>
      </c>
      <c r="K12" s="9" t="s">
        <v>166</v>
      </c>
      <c r="L12" s="9"/>
      <c r="M12" s="9"/>
      <c r="N12" s="9" t="s">
        <v>21</v>
      </c>
      <c r="O12" s="9"/>
      <c r="P12" s="10" t="s">
        <v>167</v>
      </c>
    </row>
    <row r="13" spans="1:16" x14ac:dyDescent="0.3">
      <c r="A13" s="18"/>
      <c r="B13" s="18"/>
      <c r="C13" s="21" t="s">
        <v>168</v>
      </c>
      <c r="D13" s="21">
        <f>COUNTA(A5:A12)</f>
        <v>8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4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B6761-9B56-4B99-82E9-A0E7F77A25BE}">
  <dimension ref="A1:I5"/>
  <sheetViews>
    <sheetView workbookViewId="0">
      <pane ySplit="1" topLeftCell="A2" activePane="bottomLeft" state="frozen"/>
      <selection pane="bottomLeft" activeCell="C23" sqref="C23"/>
    </sheetView>
  </sheetViews>
  <sheetFormatPr defaultRowHeight="14.4" x14ac:dyDescent="0.3"/>
  <cols>
    <col min="1" max="2" width="14" customWidth="1"/>
    <col min="3" max="4" width="29" customWidth="1"/>
    <col min="5" max="5" width="20" customWidth="1"/>
    <col min="6" max="6" width="87" customWidth="1"/>
    <col min="7" max="7" width="18" customWidth="1"/>
    <col min="8" max="8" width="13" customWidth="1"/>
    <col min="9" max="9" width="29" customWidth="1"/>
  </cols>
  <sheetData>
    <row r="1" spans="1:9" ht="16.8" x14ac:dyDescent="0.3">
      <c r="A1" s="33" t="s">
        <v>201</v>
      </c>
      <c r="B1" s="33" t="s">
        <v>80</v>
      </c>
      <c r="C1" s="33" t="s">
        <v>200</v>
      </c>
      <c r="D1" s="33" t="s">
        <v>199</v>
      </c>
      <c r="E1" s="33" t="s">
        <v>198</v>
      </c>
      <c r="F1" s="33" t="s">
        <v>197</v>
      </c>
      <c r="G1" s="33" t="s">
        <v>196</v>
      </c>
      <c r="H1" s="33" t="s">
        <v>195</v>
      </c>
      <c r="I1" s="33" t="s">
        <v>194</v>
      </c>
    </row>
    <row r="2" spans="1:9" ht="16.8" x14ac:dyDescent="0.3">
      <c r="A2" s="31">
        <v>46157</v>
      </c>
      <c r="B2" s="30" t="s">
        <v>190</v>
      </c>
      <c r="C2" s="32" t="e">
        <f ca="1">_xludf.XLOOKUP(B2, [1]Contacts!A:A, [1]Contacts!D:D, "Unknown Contact")</f>
        <v>#NAME?</v>
      </c>
      <c r="D2" s="32" t="e">
        <f ca="1">_xludf.XLOOKUP(B2, [1]Contacts!A:A, [1]Contacts!I:I, "Unknown Company")</f>
        <v>#NAME?</v>
      </c>
      <c r="E2" s="32" t="s">
        <v>193</v>
      </c>
      <c r="F2" s="32" t="s">
        <v>192</v>
      </c>
      <c r="G2" s="31">
        <v>46164</v>
      </c>
      <c r="H2" s="30" t="s">
        <v>191</v>
      </c>
      <c r="I2" s="29" t="str">
        <f ca="1">IF(H2="Pending", TODAY()-G2, "")</f>
        <v/>
      </c>
    </row>
    <row r="3" spans="1:9" ht="16.8" x14ac:dyDescent="0.3">
      <c r="A3" s="27">
        <v>46164</v>
      </c>
      <c r="B3" s="26" t="s">
        <v>190</v>
      </c>
      <c r="C3" s="28" t="e">
        <f ca="1">_xludf.XLOOKUP(B3, [1]Contacts!A:A, [1]Contacts!D:D, "Unknown Contact")</f>
        <v>#NAME?</v>
      </c>
      <c r="D3" s="28" t="e">
        <f ca="1">_xludf.XLOOKUP(B3, [1]Contacts!A:A, [1]Contacts!I:I, "Unknown Company")</f>
        <v>#NAME?</v>
      </c>
      <c r="E3" s="28" t="s">
        <v>189</v>
      </c>
      <c r="F3" s="28" t="s">
        <v>188</v>
      </c>
      <c r="G3" s="27">
        <v>46176</v>
      </c>
      <c r="H3" s="26" t="s">
        <v>181</v>
      </c>
      <c r="I3" s="25">
        <f ca="1">IF(H3="Pending", TODAY()-G3, "")</f>
        <v>-2</v>
      </c>
    </row>
    <row r="4" spans="1:9" ht="16.8" x14ac:dyDescent="0.3">
      <c r="A4" s="31">
        <v>46170</v>
      </c>
      <c r="B4" s="30" t="s">
        <v>187</v>
      </c>
      <c r="C4" s="32" t="e">
        <f ca="1">_xludf.XLOOKUP(B4, [1]Contacts!A:A, [1]Contacts!D:D, "Unknown Contact")</f>
        <v>#NAME?</v>
      </c>
      <c r="D4" s="32" t="e">
        <f ca="1">_xludf.XLOOKUP(B4, [1]Contacts!A:A, [1]Contacts!I:I, "Unknown Company")</f>
        <v>#NAME?</v>
      </c>
      <c r="E4" s="32" t="s">
        <v>186</v>
      </c>
      <c r="F4" s="32" t="s">
        <v>185</v>
      </c>
      <c r="G4" s="31">
        <v>46174</v>
      </c>
      <c r="H4" s="30" t="s">
        <v>181</v>
      </c>
      <c r="I4" s="29">
        <f ca="1">IF(H4="Pending", TODAY()-G4, "")</f>
        <v>0</v>
      </c>
    </row>
    <row r="5" spans="1:9" ht="16.8" x14ac:dyDescent="0.3">
      <c r="A5" s="27">
        <v>46171</v>
      </c>
      <c r="B5" s="26" t="s">
        <v>184</v>
      </c>
      <c r="C5" s="28" t="e">
        <f ca="1">_xludf.XLOOKUP(B5, [1]Contacts!A:A, [1]Contacts!D:D, "Unknown Contact")</f>
        <v>#NAME?</v>
      </c>
      <c r="D5" s="28" t="e">
        <f ca="1">_xludf.XLOOKUP(B5, [1]Contacts!A:A, [1]Contacts!I:I, "Unknown Company")</f>
        <v>#NAME?</v>
      </c>
      <c r="E5" s="28" t="s">
        <v>183</v>
      </c>
      <c r="F5" s="28" t="s">
        <v>182</v>
      </c>
      <c r="G5" s="27">
        <v>46188</v>
      </c>
      <c r="H5" s="26" t="s">
        <v>181</v>
      </c>
      <c r="I5" s="25">
        <f ca="1">IF(H5="Pending", TODAY()-G5, "")</f>
        <v>-14</v>
      </c>
    </row>
  </sheetData>
  <dataValidations count="2">
    <dataValidation type="list" allowBlank="1" sqref="H2:H100" xr:uid="{00000000-0002-0000-0300-000001000000}">
      <formula1>"Pending,Completed,Cancelled"</formula1>
    </dataValidation>
    <dataValidation type="list" allowBlank="1" sqref="E2:E100" xr:uid="{00000000-0002-0000-0300-000000000000}">
      <formula1>"Email,Call,Zoom Call,In-Person,LinkedIn"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Accounts</vt:lpstr>
      <vt:lpstr>Contacts</vt:lpstr>
      <vt:lpstr>Interactions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Arria Cocei-Stacy</cp:lastModifiedBy>
  <dcterms:created xsi:type="dcterms:W3CDTF">2026-06-01T14:06:38Z</dcterms:created>
  <dcterms:modified xsi:type="dcterms:W3CDTF">2026-06-01T15:00:21Z</dcterms:modified>
</cp:coreProperties>
</file>